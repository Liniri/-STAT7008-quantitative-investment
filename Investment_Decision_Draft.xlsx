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3546" tabRatio="600" firstSheet="0" activeTab="1" autoFilterDateGrouping="1"/>
  </bookViews>
  <sheets>
    <sheet xmlns:r="http://schemas.openxmlformats.org/officeDocument/2006/relationships" name="Group Information" sheetId="1" state="visible" r:id="rId1"/>
    <sheet xmlns:r="http://schemas.openxmlformats.org/officeDocument/2006/relationships" name="Daily Investment" sheetId="2" state="visible" r:id="rId2"/>
    <sheet xmlns:r="http://schemas.openxmlformats.org/officeDocument/2006/relationships" name="Weekly Investment" sheetId="3" state="visible" r:id="rId3"/>
    <sheet xmlns:r="http://schemas.openxmlformats.org/officeDocument/2006/relationships" name="Monthly Investm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0" fontId="0" fillId="0" borderId="0" pivotButton="0" quotePrefix="0" xfId="0"/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C22" sqref="C22"/>
    </sheetView>
  </sheetViews>
  <sheetFormatPr baseColWidth="8" defaultRowHeight="14.25"/>
  <cols>
    <col width="16.796875" customWidth="1" min="1" max="1"/>
    <col width="14.53125" customWidth="1" min="2" max="2"/>
    <col width="15.796875" customWidth="1" min="3" max="3"/>
    <col width="13.3984375" customWidth="1" style="3" min="4" max="4"/>
    <col width="30.19921875" customWidth="1" min="5" max="5"/>
    <col width="29.86328125" customWidth="1" min="6" max="6"/>
  </cols>
  <sheetData>
    <row r="1">
      <c r="A1" t="inlineStr">
        <is>
          <t>Member</t>
        </is>
      </c>
      <c r="B1" t="inlineStr">
        <is>
          <t>Surname</t>
        </is>
      </c>
      <c r="C1" t="inlineStr">
        <is>
          <t>First Name</t>
        </is>
      </c>
      <c r="D1" s="3" t="inlineStr">
        <is>
          <t>UID</t>
        </is>
      </c>
      <c r="E1" t="inlineStr">
        <is>
          <t>HKU Email</t>
        </is>
      </c>
      <c r="F1" t="inlineStr">
        <is>
          <t>Group Leader? (Yes/No)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8">
      <c r="B8" s="2" t="n"/>
    </row>
    <row r="9">
      <c r="C9" s="4" t="n"/>
    </row>
    <row r="10">
      <c r="B10" s="1" t="n"/>
      <c r="C10" s="4" t="n"/>
      <c r="F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J23" sqref="J23"/>
    </sheetView>
  </sheetViews>
  <sheetFormatPr baseColWidth="8" defaultRowHeight="14.25"/>
  <cols>
    <col width="18.73046875" customWidth="1" min="2" max="3"/>
    <col width="27.3984375" customWidth="1" min="4" max="4"/>
    <col width="38.265625" customWidth="1" min="5" max="5"/>
    <col width="25.3984375" customWidth="1" min="6" max="6"/>
    <col width="38.1328125" customWidth="1" min="7" max="7"/>
    <col width="28.19921875" customWidth="1" min="8" max="8"/>
    <col width="27.73046875" customWidth="1" min="9" max="9"/>
  </cols>
  <sheetData>
    <row r="1">
      <c r="B1" s="5" t="inlineStr">
        <is>
          <t>Stock ID</t>
        </is>
      </c>
      <c r="C1" s="5" t="inlineStr">
        <is>
          <t>Company Name</t>
        </is>
      </c>
      <c r="D1" s="5" t="inlineStr">
        <is>
          <t>Number of Shares Purchased</t>
        </is>
      </c>
      <c r="E1" s="5" t="inlineStr">
        <is>
          <t>Closing Price on Nov 6</t>
        </is>
      </c>
      <c r="F1" s="5" t="inlineStr">
        <is>
          <t>Value of Investment on Nov 6</t>
        </is>
      </c>
      <c r="G1" s="5" t="inlineStr">
        <is>
          <t>Closing Price on Nov 9</t>
        </is>
      </c>
      <c r="H1" s="5" t="inlineStr">
        <is>
          <t>Value of Investment on Nov 9</t>
        </is>
      </c>
      <c r="I1" s="5" t="n"/>
    </row>
    <row r="2">
      <c r="A2" t="n">
        <v>1</v>
      </c>
      <c r="B2" s="5" t="inlineStr">
        <is>
          <t>NVDA</t>
        </is>
      </c>
      <c r="C2" s="5" t="n"/>
      <c r="D2" s="5" t="n">
        <v>872.2959</v>
      </c>
      <c r="E2" s="5" t="n">
        <v>229.28</v>
      </c>
      <c r="F2" s="5">
        <f>D2*E2</f>
        <v/>
      </c>
      <c r="G2" s="5" t="n"/>
      <c r="H2" s="5">
        <f>D2*G2</f>
        <v/>
      </c>
      <c r="I2" s="5" t="n"/>
    </row>
    <row r="3">
      <c r="A3" t="n">
        <v>2</v>
      </c>
      <c r="B3" s="5" t="inlineStr">
        <is>
          <t>AMD</t>
        </is>
      </c>
      <c r="C3" s="5" t="n"/>
      <c r="D3" s="5" t="n">
        <v>328.8933</v>
      </c>
      <c r="E3" s="5" t="n">
        <v>608.1</v>
      </c>
      <c r="F3" s="5">
        <f>D3*E3</f>
        <v/>
      </c>
      <c r="G3" s="5" t="n"/>
      <c r="H3" s="5">
        <f>D3*G3</f>
        <v/>
      </c>
      <c r="I3" s="5" t="n"/>
    </row>
    <row r="4">
      <c r="A4" t="n">
        <v>3</v>
      </c>
      <c r="B4" s="5" t="inlineStr">
        <is>
          <t>META</t>
        </is>
      </c>
      <c r="C4" s="5" t="n"/>
      <c r="D4" s="5" t="n">
        <v>278.2918</v>
      </c>
      <c r="E4" s="5" t="n">
        <v>718.67</v>
      </c>
      <c r="F4" s="5">
        <f>D4*E4</f>
        <v/>
      </c>
      <c r="G4" s="5" t="n"/>
      <c r="H4" s="5">
        <f>D4*G4</f>
        <v/>
      </c>
      <c r="I4" s="5" t="n"/>
    </row>
    <row r="5">
      <c r="A5" t="n">
        <v>4</v>
      </c>
      <c r="B5" s="5" t="inlineStr">
        <is>
          <t>AAPL</t>
        </is>
      </c>
      <c r="C5" s="5" t="n"/>
      <c r="D5" s="5" t="n">
        <v>594.1065</v>
      </c>
      <c r="E5" s="5" t="n">
        <v>336.64</v>
      </c>
      <c r="F5" s="5">
        <f>D5*E5</f>
        <v/>
      </c>
      <c r="G5" s="5" t="n"/>
      <c r="H5" s="5">
        <f>D5*G5</f>
        <v/>
      </c>
      <c r="I5" s="5" t="n"/>
    </row>
    <row r="6">
      <c r="A6" t="n">
        <v>5</v>
      </c>
      <c r="B6" s="5" t="inlineStr">
        <is>
          <t>TGT</t>
        </is>
      </c>
      <c r="C6" s="5" t="n"/>
      <c r="D6" s="5" t="n">
        <v>1301.7443</v>
      </c>
      <c r="E6" s="5" t="n">
        <v>153.64</v>
      </c>
      <c r="F6" s="5">
        <f>D6*E6</f>
        <v/>
      </c>
      <c r="G6" s="5" t="n"/>
      <c r="H6" s="5">
        <f>D6*G6</f>
        <v/>
      </c>
      <c r="I6" s="5" t="n"/>
    </row>
    <row r="7">
      <c r="B7" s="5" t="n"/>
      <c r="C7" s="5" t="n"/>
      <c r="D7" s="5" t="n"/>
      <c r="E7" s="6" t="inlineStr">
        <is>
          <t>Portfolio Value on Nov 6</t>
        </is>
      </c>
      <c r="F7" s="5">
        <f>SUM(F2:F6)</f>
        <v/>
      </c>
      <c r="G7" s="6" t="inlineStr">
        <is>
          <t>Portfolio Value on Nov 9</t>
        </is>
      </c>
      <c r="H7" s="5">
        <f>SUM(H2:H6)</f>
        <v/>
      </c>
      <c r="I7" s="6" t="inlineStr">
        <is>
          <t>Return on Daily Investment</t>
        </is>
      </c>
      <c r="J7" s="8">
        <f>(H7-1000000)/1000000</f>
        <v/>
      </c>
    </row>
    <row r="11">
      <c r="A11" t="inlineStr">
        <is>
          <t>Note 1</t>
        </is>
      </c>
      <c r="B11" t="inlineStr">
        <is>
          <t>We use closing price (not adjusted closing price) in this project.</t>
        </is>
      </c>
    </row>
    <row r="13">
      <c r="A13" t="inlineStr">
        <is>
          <t>Note 2</t>
        </is>
      </c>
      <c r="B13" t="inlineStr">
        <is>
          <t>We assume there is no transaction cost.</t>
        </is>
      </c>
    </row>
    <row r="15">
      <c r="A15" t="inlineStr">
        <is>
          <t>Note 3</t>
        </is>
      </c>
      <c r="B15" t="inlineStr">
        <is>
          <t>We ignore the lot size and we can buy fractional shares.</t>
        </is>
      </c>
    </row>
    <row r="17">
      <c r="A17" t="inlineStr">
        <is>
          <t>Note 4</t>
        </is>
      </c>
      <c r="B17" t="inlineStr">
        <is>
          <t>You should notify me and the marking tutor if there has been a dividend payment (i.e., ex-dividend date) during the evaluation periods.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topLeftCell="C1" workbookViewId="0">
      <selection activeCell="G2" sqref="G2"/>
    </sheetView>
  </sheetViews>
  <sheetFormatPr baseColWidth="8" defaultRowHeight="14.25"/>
  <cols>
    <col width="18.73046875" customWidth="1" min="2" max="3"/>
    <col width="27.3984375" customWidth="1" min="4" max="4"/>
    <col width="38.265625" customWidth="1" min="5" max="5"/>
    <col width="25.3984375" customWidth="1" min="6" max="6"/>
    <col width="38.1328125" customWidth="1" min="7" max="7"/>
    <col width="28.19921875" customWidth="1" min="8" max="8"/>
    <col width="27.73046875" customWidth="1" min="9" max="9"/>
  </cols>
  <sheetData>
    <row r="1">
      <c r="B1" s="5" t="inlineStr">
        <is>
          <t>Stock ID</t>
        </is>
      </c>
      <c r="C1" s="5" t="inlineStr">
        <is>
          <t>Company Name</t>
        </is>
      </c>
      <c r="D1" s="5" t="inlineStr">
        <is>
          <t>Number of Shares Purchased</t>
        </is>
      </c>
      <c r="E1" s="5" t="inlineStr">
        <is>
          <t>Closing Price on Nov 6</t>
        </is>
      </c>
      <c r="F1" s="5" t="inlineStr">
        <is>
          <t>Value of Investment on Nov 6</t>
        </is>
      </c>
      <c r="G1" s="5" t="inlineStr">
        <is>
          <t>Closing Price on Nov 13</t>
        </is>
      </c>
      <c r="H1" s="5" t="inlineStr">
        <is>
          <t>Value of Investment on Nov 13</t>
        </is>
      </c>
      <c r="I1" s="5" t="n"/>
    </row>
    <row r="2">
      <c r="A2" t="n">
        <v>1</v>
      </c>
      <c r="B2" s="5" t="inlineStr">
        <is>
          <t>AMD</t>
        </is>
      </c>
      <c r="C2" s="5" t="n"/>
      <c r="D2" s="5" t="n">
        <v>328.8933</v>
      </c>
      <c r="E2" s="5" t="n">
        <v>608.1</v>
      </c>
      <c r="F2" s="5">
        <f>D2*E2</f>
        <v/>
      </c>
      <c r="G2" s="5" t="n"/>
      <c r="H2" s="5">
        <f>D2*G2</f>
        <v/>
      </c>
      <c r="I2" s="5" t="n"/>
    </row>
    <row r="3">
      <c r="A3" t="n">
        <v>2</v>
      </c>
      <c r="B3" s="5" t="inlineStr">
        <is>
          <t>META</t>
        </is>
      </c>
      <c r="C3" s="5" t="n"/>
      <c r="D3" s="5" t="n">
        <v>278.2918</v>
      </c>
      <c r="E3" s="5" t="n">
        <v>718.67</v>
      </c>
      <c r="F3" s="5">
        <f>D3*E3</f>
        <v/>
      </c>
      <c r="G3" s="5" t="n"/>
      <c r="H3" s="5">
        <f>D3*G3</f>
        <v/>
      </c>
      <c r="I3" s="5" t="n"/>
    </row>
    <row r="4">
      <c r="A4" t="n">
        <v>3</v>
      </c>
      <c r="B4" s="5" t="inlineStr">
        <is>
          <t>AMGN</t>
        </is>
      </c>
      <c r="C4" s="5" t="n"/>
      <c r="D4" s="5" t="n">
        <v>482.0787</v>
      </c>
      <c r="E4" s="5" t="n">
        <v>414.87</v>
      </c>
      <c r="F4" s="5">
        <f>D4*E4</f>
        <v/>
      </c>
      <c r="G4" s="5" t="n"/>
      <c r="H4" s="5">
        <f>D4*G4</f>
        <v/>
      </c>
      <c r="I4" s="5" t="n"/>
    </row>
    <row r="5">
      <c r="A5" t="n">
        <v>4</v>
      </c>
      <c r="B5" s="5" t="inlineStr">
        <is>
          <t>MSFT</t>
        </is>
      </c>
      <c r="C5" s="5" t="n"/>
      <c r="D5" s="5" t="n">
        <v>373.7829</v>
      </c>
      <c r="E5" s="5" t="n">
        <v>535.0700000000001</v>
      </c>
      <c r="F5" s="5">
        <f>D5*E5</f>
        <v/>
      </c>
      <c r="G5" s="5" t="n"/>
      <c r="H5" s="5">
        <f>D5*G5</f>
        <v/>
      </c>
      <c r="I5" s="5" t="n"/>
    </row>
    <row r="6">
      <c r="A6" t="n">
        <v>5</v>
      </c>
      <c r="B6" s="5" t="inlineStr">
        <is>
          <t>ABBV</t>
        </is>
      </c>
      <c r="C6" s="5" t="n"/>
      <c r="D6" s="5" t="n">
        <v>723.4058</v>
      </c>
      <c r="E6" s="5" t="n">
        <v>276.47</v>
      </c>
      <c r="F6" s="5">
        <f>D6*E6</f>
        <v/>
      </c>
      <c r="G6" s="5" t="n"/>
      <c r="H6" s="5">
        <f>D6*G6</f>
        <v/>
      </c>
      <c r="I6" s="5" t="n"/>
    </row>
    <row r="7">
      <c r="B7" s="5" t="n"/>
      <c r="C7" s="5" t="n"/>
      <c r="D7" s="5" t="n"/>
      <c r="E7" s="6" t="inlineStr">
        <is>
          <t>Portfolio Value on Nov 6</t>
        </is>
      </c>
      <c r="F7" s="5">
        <f>SUM(F2:F6)</f>
        <v/>
      </c>
      <c r="G7" s="6" t="inlineStr">
        <is>
          <t>Portfolio Value on Nov 13</t>
        </is>
      </c>
      <c r="H7" s="5">
        <f>SUM(H2:H6)</f>
        <v/>
      </c>
      <c r="I7" s="6" t="inlineStr">
        <is>
          <t>Return on Weekly Investment</t>
        </is>
      </c>
      <c r="J7" s="8">
        <f>(H7-1000000)/1000000</f>
        <v/>
      </c>
    </row>
    <row r="11">
      <c r="A11" t="inlineStr">
        <is>
          <t>Note 1</t>
        </is>
      </c>
      <c r="B11" t="inlineStr">
        <is>
          <t>We use closing price (not adjusted closing price) in this project.</t>
        </is>
      </c>
    </row>
    <row r="13">
      <c r="A13" t="inlineStr">
        <is>
          <t>Note 2</t>
        </is>
      </c>
      <c r="B13" t="inlineStr">
        <is>
          <t>We assume there is no transaction cost.</t>
        </is>
      </c>
    </row>
    <row r="15">
      <c r="A15" t="inlineStr">
        <is>
          <t>Note 3</t>
        </is>
      </c>
      <c r="B15" t="inlineStr">
        <is>
          <t>We ignore the lot size and we can buy fractional shares.</t>
        </is>
      </c>
    </row>
    <row r="17">
      <c r="A17" t="inlineStr">
        <is>
          <t>Note 4</t>
        </is>
      </c>
      <c r="B17" t="inlineStr">
        <is>
          <t>You should notify me and the marking tutor if there has been a dividend payment (i.e., ex-dividend date) during the evaluation periods.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topLeftCell="E1" workbookViewId="0">
      <selection activeCell="J9" sqref="J9"/>
    </sheetView>
  </sheetViews>
  <sheetFormatPr baseColWidth="8" defaultRowHeight="14.25"/>
  <cols>
    <col width="18.73046875" customWidth="1" min="2" max="3"/>
    <col width="27.3984375" customWidth="1" min="4" max="4"/>
    <col width="38.265625" customWidth="1" min="5" max="5"/>
    <col width="25.3984375" customWidth="1" min="6" max="6"/>
    <col width="38.1328125" customWidth="1" min="7" max="7"/>
    <col width="28.19921875" customWidth="1" min="8" max="8"/>
    <col width="27.73046875" customWidth="1" min="9" max="9"/>
  </cols>
  <sheetData>
    <row r="1">
      <c r="B1" s="5" t="inlineStr">
        <is>
          <t>Stock ID</t>
        </is>
      </c>
      <c r="C1" s="5" t="inlineStr">
        <is>
          <t>Company Name</t>
        </is>
      </c>
      <c r="D1" s="5" t="inlineStr">
        <is>
          <t>Number of Shares Purchased</t>
        </is>
      </c>
      <c r="E1" s="5" t="inlineStr">
        <is>
          <t>Closing Price on Nov 6</t>
        </is>
      </c>
      <c r="F1" s="5" t="inlineStr">
        <is>
          <t>Value of Investment on Nov 6</t>
        </is>
      </c>
      <c r="G1" s="5" t="inlineStr">
        <is>
          <t>Closing Price on Dec 4</t>
        </is>
      </c>
      <c r="H1" s="5" t="inlineStr">
        <is>
          <t>Value of Investment on Dec 4</t>
        </is>
      </c>
      <c r="I1" s="5" t="n"/>
    </row>
    <row r="2">
      <c r="A2" t="n">
        <v>1</v>
      </c>
      <c r="B2" s="5" t="inlineStr">
        <is>
          <t>VZ</t>
        </is>
      </c>
      <c r="C2" s="5" t="n"/>
      <c r="D2" s="5" t="n">
        <v>4801.9208</v>
      </c>
      <c r="E2" s="5" t="n">
        <v>41.65</v>
      </c>
      <c r="F2" s="5">
        <f>D2*E2</f>
        <v/>
      </c>
      <c r="G2" s="5" t="n"/>
      <c r="H2" s="5">
        <f>D2*G2</f>
        <v/>
      </c>
      <c r="I2" s="5" t="n"/>
    </row>
    <row r="3">
      <c r="A3" t="n">
        <v>2</v>
      </c>
      <c r="B3" s="5" t="inlineStr">
        <is>
          <t>T</t>
        </is>
      </c>
      <c r="C3" s="5" t="n"/>
      <c r="D3" s="5" t="n">
        <v>9017.132600000001</v>
      </c>
      <c r="E3" s="5" t="n">
        <v>22.18</v>
      </c>
      <c r="F3" s="5">
        <f>D3*E3</f>
        <v/>
      </c>
      <c r="G3" s="5" t="n"/>
      <c r="H3" s="5">
        <f>D3*G3</f>
        <v/>
      </c>
      <c r="I3" s="5" t="n"/>
    </row>
    <row r="4">
      <c r="A4" t="n">
        <v>3</v>
      </c>
      <c r="B4" s="5" t="inlineStr">
        <is>
          <t>WFC</t>
        </is>
      </c>
      <c r="C4" s="5" t="n"/>
      <c r="D4" s="5" t="n">
        <v>2393.7762</v>
      </c>
      <c r="E4" s="5" t="n">
        <v>83.55</v>
      </c>
      <c r="F4" s="5">
        <f>D4*E4</f>
        <v/>
      </c>
      <c r="G4" s="5" t="n"/>
      <c r="H4" s="5">
        <f>D4*G4</f>
        <v/>
      </c>
      <c r="I4" s="5" t="n"/>
    </row>
    <row r="5">
      <c r="A5" t="n">
        <v>4</v>
      </c>
      <c r="B5" s="5" t="inlineStr">
        <is>
          <t>UNH</t>
        </is>
      </c>
      <c r="C5" s="5" t="n"/>
      <c r="D5" s="5" t="n">
        <v>527.2871</v>
      </c>
      <c r="E5" s="5" t="n">
        <v>379.3</v>
      </c>
      <c r="F5" s="5">
        <f>D5*E5</f>
        <v/>
      </c>
      <c r="G5" s="5" t="n"/>
      <c r="H5" s="5">
        <f>D5*G5</f>
        <v/>
      </c>
      <c r="I5" s="5" t="n"/>
    </row>
    <row r="6">
      <c r="A6" t="n">
        <v>5</v>
      </c>
      <c r="B6" s="5" t="inlineStr">
        <is>
          <t>SBUX</t>
        </is>
      </c>
      <c r="C6" s="5" t="n"/>
      <c r="D6" s="5" t="n">
        <v>2203.8567</v>
      </c>
      <c r="E6" s="5" t="n">
        <v>90.75</v>
      </c>
      <c r="F6" s="5">
        <f>D6*E6</f>
        <v/>
      </c>
      <c r="G6" s="5" t="n"/>
      <c r="H6" s="5">
        <f>D6*G6</f>
        <v/>
      </c>
      <c r="I6" s="5" t="n"/>
    </row>
    <row r="7">
      <c r="B7" s="5" t="n"/>
      <c r="C7" s="5" t="n"/>
      <c r="D7" s="5" t="n"/>
      <c r="E7" s="6" t="inlineStr">
        <is>
          <t>Portfolio Value on Nov 6</t>
        </is>
      </c>
      <c r="F7" s="5">
        <f>SUM(F2:F6)</f>
        <v/>
      </c>
      <c r="G7" s="6" t="inlineStr">
        <is>
          <t>Portfolio Value on Dec 4</t>
        </is>
      </c>
      <c r="H7" s="5">
        <f>SUM(H2:H6)</f>
        <v/>
      </c>
      <c r="I7" s="6" t="inlineStr">
        <is>
          <t>Return on Monthly Investment</t>
        </is>
      </c>
      <c r="J7" s="8">
        <f>(H7-1000000)/1000000</f>
        <v/>
      </c>
    </row>
    <row r="9">
      <c r="I9" s="7" t="inlineStr">
        <is>
          <t>Portfolio Return</t>
        </is>
      </c>
      <c r="J9" s="8">
        <f>('Daily Investment'!H7+'Weekly Investment'!H7+'Monthly Investment'!H7-3000000)/3000000</f>
        <v/>
      </c>
    </row>
    <row r="11">
      <c r="A11" t="inlineStr">
        <is>
          <t>Note 1</t>
        </is>
      </c>
      <c r="B11" t="inlineStr">
        <is>
          <t>We use closing price (not adjusted closing price) in this project.</t>
        </is>
      </c>
    </row>
    <row r="13">
      <c r="A13" t="inlineStr">
        <is>
          <t>Note 2</t>
        </is>
      </c>
      <c r="B13" t="inlineStr">
        <is>
          <t>We assume there is no transaction cost.</t>
        </is>
      </c>
    </row>
    <row r="15">
      <c r="A15" t="inlineStr">
        <is>
          <t>Note 3</t>
        </is>
      </c>
      <c r="B15" t="inlineStr">
        <is>
          <t>We ignore the lot size and we can buy fractional shares.</t>
        </is>
      </c>
    </row>
    <row r="17">
      <c r="A17" t="inlineStr">
        <is>
          <t>Note 4</t>
        </is>
      </c>
      <c r="B17" t="inlineStr">
        <is>
          <t>You should notify me and the marking tutor if there has been a dividend payment (i.e., ex-dividend date) during the evaluation periods.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Harrison Cheung</dc:creator>
  <dcterms:created xmlns:dcterms="http://purl.org/dc/terms/" xmlns:xsi="http://www.w3.org/2001/XMLSchema-instance" xsi:type="dcterms:W3CDTF">2023-09-22T11:34:41Z</dcterms:created>
  <dcterms:modified xmlns:dcterms="http://purl.org/dc/terms/" xmlns:xsi="http://www.w3.org/2001/XMLSchema-instance" xsi:type="dcterms:W3CDTF">2026-10-10T11:03:46Z</dcterms:modified>
  <cp:lastModifiedBy>NGAI TENG CHEUNG</cp:lastModifiedBy>
</cp:coreProperties>
</file>